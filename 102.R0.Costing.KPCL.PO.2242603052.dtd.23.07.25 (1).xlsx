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VMS-Costing\102.KPCL-wilcoxon\"/>
    </mc:Choice>
  </mc:AlternateContent>
  <xr:revisionPtr revIDLastSave="0" documentId="13_ncr:1_{8DCA2846-E89A-4DD4-B9F0-F60B1E9A1FEA}" xr6:coauthVersionLast="47" xr6:coauthVersionMax="47" xr10:uidLastSave="{00000000-0000-0000-0000-000000000000}"/>
  <bookViews>
    <workbookView xWindow="-120" yWindow="-120" windowWidth="20730" windowHeight="11040" tabRatio="879" xr2:uid="{00000000-000D-0000-FFFF-FFFF00000000}"/>
  </bookViews>
  <sheets>
    <sheet name="BOM" sheetId="38" r:id="rId1"/>
    <sheet name="T&amp;C" sheetId="41" r:id="rId2"/>
  </sheets>
  <externalReferences>
    <externalReference r:id="rId3"/>
    <externalReference r:id="rId4"/>
    <externalReference r:id="rId5"/>
    <externalReference r:id="rId6"/>
  </externalReferences>
  <definedNames>
    <definedName name="__1Excel_BuiltIn_Print_Area_1_1">#REF!</definedName>
    <definedName name="_1Excel_BuiltIn_Print_Area_1_1">#REF!</definedName>
    <definedName name="a" localSheetId="1" hidden="1">{#N/A,#N/A,FALSE,"BIDS";#N/A,#N/A,FALSE,"GEN"}</definedName>
    <definedName name="a" hidden="1">{#N/A,#N/A,FALSE,"BIDS";#N/A,#N/A,FALSE,"GEN"}</definedName>
    <definedName name="b">[1]PL!#REF!</definedName>
    <definedName name="BPTasks">'[2]Service Cal'!$AB$5</definedName>
    <definedName name="CFFHN">[1]PL!#REF!</definedName>
    <definedName name="CM">#REF!</definedName>
    <definedName name="CMService">'[3]Customer Information'!$E$48</definedName>
    <definedName name="Coefficient_Breakeven">#REF!</definedName>
    <definedName name="d">[1]PL!#REF!</definedName>
    <definedName name="DDJH">#REF!</definedName>
    <definedName name="DFHANZTFGNM">[1]PL!#REF!</definedName>
    <definedName name="DFHBN">[1]PL!#REF!</definedName>
    <definedName name="DFTUJTJM">#REF!</definedName>
    <definedName name="DH">#REF!</definedName>
    <definedName name="DicountVM">#REF!</definedName>
    <definedName name="Discount">#REF!</definedName>
    <definedName name="DRHE5AHT4">[1]PL!#REF!</definedName>
    <definedName name="DRHN">[1]PL!#REF!</definedName>
    <definedName name="DTHBTMN">#REF!</definedName>
    <definedName name="DTJEDJ">#REF!</definedName>
    <definedName name="DTJYJ">#REF!</definedName>
    <definedName name="DTYUJDTYK">#REF!</definedName>
    <definedName name="e">[1]PL!#REF!</definedName>
    <definedName name="EURO_Rate">#REF!</definedName>
    <definedName name="Euro_Rate1_CHF">#REF!</definedName>
    <definedName name="Euro_Rate1_USD">#REF!</definedName>
    <definedName name="EURO_Rate2">#REF!</definedName>
    <definedName name="Euro_Rate2_CHF">#REF!</definedName>
    <definedName name="Euro_Rate2_USD">#REF!</definedName>
    <definedName name="EURO_Rate3">#REF!</definedName>
    <definedName name="Euro_Rate3_CHF">#REF!</definedName>
    <definedName name="FDD">#REF!</definedName>
    <definedName name="FFTJHTJ">#REF!</definedName>
    <definedName name="FGG">#REF!</definedName>
    <definedName name="FGGJ">#REF!</definedName>
    <definedName name="FGJNDTYTYCM">#REF!</definedName>
    <definedName name="FGRY">[1]PL!#REF!</definedName>
    <definedName name="FHDHXTH">[1]PL!#REF!</definedName>
    <definedName name="FHER">#REF!</definedName>
    <definedName name="FJYK">#REF!</definedName>
    <definedName name="FTGG">[1]PL!#REF!</definedName>
    <definedName name="FTHSRTMKJ">#REF!</definedName>
    <definedName name="FTUJM">[1]PL!#REF!</definedName>
    <definedName name="Gas">#REF!</definedName>
    <definedName name="GE_Monthly_Rate">'[4]Customer Information'!$K$11</definedName>
    <definedName name="Generator">#REF!</definedName>
    <definedName name="GHJJJ">[1]PL!#REF!</definedName>
    <definedName name="GJGJ">[1]PL!#REF!</definedName>
    <definedName name="HEA">#REF!</definedName>
    <definedName name="HJHMMGCYJ">[1]PL!#REF!</definedName>
    <definedName name="INST_TYPE">#REF!</definedName>
    <definedName name="_xlnm.Print_Area" localSheetId="0">BOM!$A$1:$E$28</definedName>
    <definedName name="R.Spares">[1]PL!#REF!</definedName>
    <definedName name="RTJJ">[1]PL!#REF!</definedName>
    <definedName name="RTJSR6TJ">[1]PL!#REF!</definedName>
    <definedName name="RUJRDFXHTRH">[1]PL!#REF!</definedName>
    <definedName name="s">[1]PL!#REF!</definedName>
    <definedName name="sdbEBR">#REF!</definedName>
    <definedName name="sdrhht">#REF!</definedName>
    <definedName name="SJHDGJHBVCRV">[1]PL!#REF!</definedName>
    <definedName name="SR5UJ46RT">[1]PL!#REF!</definedName>
    <definedName name="Steam">#REF!</definedName>
    <definedName name="t">[1]PL!#REF!</definedName>
    <definedName name="T67UTJFJK">#REF!</definedName>
    <definedName name="TFFJF">[1]PL!#REF!</definedName>
    <definedName name="TFFJJFY">#REF!</definedName>
    <definedName name="TFHSTRJR">#REF!</definedName>
    <definedName name="TFJRTJM6JKRKD">#REF!</definedName>
    <definedName name="TFTJ">#REF!</definedName>
    <definedName name="THTUJ">#REF!</definedName>
    <definedName name="THZTJ">#REF!</definedName>
    <definedName name="TJKMJRTKMF">#REF!</definedName>
    <definedName name="Trans_101283_AATable">[1]PL!#REF!</definedName>
    <definedName name="Trans_134577_AATable">[1]PL!#REF!</definedName>
    <definedName name="Trans_134835_AATable">[1]PL!#REF!</definedName>
    <definedName name="Trans_136540_AATable">[1]PL!#REF!</definedName>
    <definedName name="Trans_137936_AATable">[1]PL!#REF!</definedName>
    <definedName name="Trans_137937_AATable">[1]PL!#REF!</definedName>
    <definedName name="Trans_138724_AATable">[1]PL!#REF!</definedName>
    <definedName name="Trans_138730_AATable">[1]PL!#REF!</definedName>
    <definedName name="Trans_138751_AATable">[1]PL!#REF!</definedName>
    <definedName name="Trans_147922_AATable">[1]PL!#REF!</definedName>
    <definedName name="Trans_148731_AATable">[1]PL!#REF!</definedName>
    <definedName name="Trans_148732_AATable">[1]PL!#REF!</definedName>
    <definedName name="Trans_161961_AATable">[1]PL!#REF!</definedName>
    <definedName name="Trans_163176_AATable">[1]PL!#REF!</definedName>
    <definedName name="Trans_164327_AATable">[1]PL!#REF!</definedName>
    <definedName name="Trans_164466_AATable">[1]PL!#REF!</definedName>
    <definedName name="Trans_330152_AATable">[1]PL!#REF!</definedName>
    <definedName name="Trans_330900_AATable">[1]PL!#REF!</definedName>
    <definedName name="TRHTJTJ">#REF!</definedName>
    <definedName name="TRHYW45UJ">#REF!</definedName>
    <definedName name="TRJFMFXCRJY">[1]PL!#REF!</definedName>
    <definedName name="TRJJKF">#REF!</definedName>
    <definedName name="TRJT">#REF!</definedName>
    <definedName name="TRTHSZRJZX">#REF!</definedName>
    <definedName name="TRUUTIUT">[1]PL!#REF!</definedName>
    <definedName name="USD_Rate1_CHF">#REF!</definedName>
    <definedName name="USD_Rate2_CHF">#REF!</definedName>
    <definedName name="VHVHMCGUK">#REF!</definedName>
    <definedName name="w">[1]PL!#REF!</definedName>
    <definedName name="wrn.PPW." localSheetId="1" hidden="1">{#N/A,#N/A,FALSE,"BIDS";#N/A,#N/A,FALSE,"GEN"}</definedName>
    <definedName name="wrn.PPW." hidden="1">{#N/A,#N/A,FALSE,"BIDS";#N/A,#N/A,FALSE,"GEN"}</definedName>
    <definedName name="x" localSheetId="1" hidden="1">{#N/A,#N/A,FALSE,"BIDS";#N/A,#N/A,FALSE,"GEN"}</definedName>
    <definedName name="x" hidden="1">{#N/A,#N/A,FALSE,"BIDS";#N/A,#N/A,FALSE,"GEN"}</definedName>
    <definedName name="y">[1]PL!#REF!</definedName>
    <definedName name="YJED">#REF!</definedName>
    <definedName name="YJYJJJMJM">[1]PL!#REF!</definedName>
    <definedName name="YTJRSJMS">[1]PL!#REF!</definedName>
    <definedName name="原価１">#REF!</definedName>
    <definedName name="原価１０">#REF!</definedName>
    <definedName name="原価１１">#REF!</definedName>
    <definedName name="原価１２">#REF!</definedName>
    <definedName name="原価１３">#REF!</definedName>
    <definedName name="原価１４">#REF!</definedName>
    <definedName name="原価１５">#REF!</definedName>
    <definedName name="原価１６">#REF!</definedName>
    <definedName name="原価１７">#REF!</definedName>
    <definedName name="原価１８">#REF!</definedName>
    <definedName name="原価１９">#REF!</definedName>
    <definedName name="原価２">#REF!</definedName>
    <definedName name="原価２０">#REF!</definedName>
    <definedName name="原価３">#REF!</definedName>
    <definedName name="原価４">#REF!</definedName>
    <definedName name="原価５">#REF!</definedName>
    <definedName name="原価６">#REF!</definedName>
    <definedName name="原価７">#REF!</definedName>
    <definedName name="原価８">#REF!</definedName>
    <definedName name="原価９">#REF!</definedName>
    <definedName name="原価計算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8" l="1"/>
  <c r="D25" i="38"/>
  <c r="D27" i="38"/>
  <c r="G22" i="38"/>
  <c r="F14" i="38"/>
  <c r="G14" i="38" l="1"/>
  <c r="E17" i="38" l="1"/>
  <c r="G17" i="38" s="1"/>
  <c r="E16" i="38" l="1"/>
  <c r="G16" i="38" s="1"/>
</calcChain>
</file>

<file path=xl/sharedStrings.xml><?xml version="1.0" encoding="utf-8"?>
<sst xmlns="http://schemas.openxmlformats.org/spreadsheetml/2006/main" count="88" uniqueCount="85">
  <si>
    <t>FORBES MARSHALL</t>
  </si>
  <si>
    <t>Description</t>
  </si>
  <si>
    <t>I</t>
  </si>
  <si>
    <t>Sr. No.</t>
  </si>
  <si>
    <t>Accessories</t>
  </si>
  <si>
    <t>II</t>
  </si>
  <si>
    <t>Customer</t>
  </si>
  <si>
    <t>Model No.</t>
  </si>
  <si>
    <t>TOTAL PRICE EX WORKS PUNE IN Rs.</t>
  </si>
  <si>
    <t>Project</t>
  </si>
  <si>
    <t>FMPL India scope of supply</t>
  </si>
  <si>
    <t>FM-MS-001</t>
  </si>
  <si>
    <t>Quote Ref :</t>
  </si>
  <si>
    <t>III</t>
  </si>
  <si>
    <t>By Customer</t>
  </si>
  <si>
    <t>Installation Supervision &amp; Comissioning Charges</t>
  </si>
  <si>
    <t>Extra at actuals</t>
  </si>
  <si>
    <t>Lodging,Boarding,travel , air fare, local conveyance will be borne by customer</t>
  </si>
  <si>
    <t>Machine:</t>
  </si>
  <si>
    <t>UP in INR</t>
  </si>
  <si>
    <t>T.P.INR</t>
  </si>
  <si>
    <t>2 wire loop powered ATEX sensors, Ex ia IIC T4 Ga certified</t>
  </si>
  <si>
    <t>USD</t>
  </si>
  <si>
    <t>M.spare</t>
  </si>
  <si>
    <t>Rs. 35000/Engineer/Day will be charged Extra at actuals</t>
  </si>
  <si>
    <t>OFFER FOR M Spare</t>
  </si>
  <si>
    <t>KPCL</t>
  </si>
  <si>
    <t>REV : 0</t>
  </si>
  <si>
    <t>C5N-OEM-2K25-VS-296</t>
  </si>
  <si>
    <t>Loop Powered Sensor for Hazardous Area</t>
  </si>
  <si>
    <t>Field Junction Box</t>
  </si>
  <si>
    <t>TERMS &amp; CONDITIONS - RUPEE PORTION</t>
  </si>
  <si>
    <t xml:space="preserve">Order to be placed at </t>
  </si>
  <si>
    <t>Forbes Marshall Pvt. Ltd. Plot No. B-85, Phase – II, Chakan Industrial Area
Village-Savardari-Chakan, Taluka-Khed Pune District – 410 501 State : Maharashtra</t>
  </si>
  <si>
    <t>Price</t>
  </si>
  <si>
    <t xml:space="preserve">Ex.Works -  Pune. </t>
  </si>
  <si>
    <t>P&amp;F</t>
  </si>
  <si>
    <t>3% extra</t>
  </si>
  <si>
    <t>Taxes &amp; Duties</t>
  </si>
  <si>
    <t>18% extra against GST</t>
  </si>
  <si>
    <t>Payment terms</t>
  </si>
  <si>
    <t>10% payment Advance &amp; 90% against proforma invoice.</t>
  </si>
  <si>
    <t>Delivery</t>
  </si>
  <si>
    <t>To be discussed during commercial stage</t>
  </si>
  <si>
    <t>Freight</t>
  </si>
  <si>
    <t>Extra at actual.</t>
  </si>
  <si>
    <t>Insurance</t>
  </si>
  <si>
    <t>To be arranged by you, for which Dispatch particulars will be cabled/telexed to you immediately after Dispatch.</t>
  </si>
  <si>
    <t>Dispatch</t>
  </si>
  <si>
    <t>Unless instructed otherwise, materials will be dispatched by our Transporter or Courier. Please let us have relevant Road permit, if reqd.</t>
  </si>
  <si>
    <t>Warranty</t>
  </si>
  <si>
    <t>12 months from the date of commissioning or 18 months from the date of supply whichever is earlier.</t>
  </si>
  <si>
    <t>Pre-dispatch inspection</t>
  </si>
  <si>
    <t>At our Pune Works (if required). Inspection charges, if any, will be charged extra to your account.</t>
  </si>
  <si>
    <t>Validity</t>
  </si>
  <si>
    <t>This offer is valid up to 30 Days</t>
  </si>
  <si>
    <t xml:space="preserve">Terms and Conditions </t>
  </si>
  <si>
    <t>This offer/sale by us shall be governed by our standard terms and condition of sale which is available on the following link:</t>
  </si>
  <si>
    <t xml:space="preserve">https://www.forbesmarshall.com/Terms-of-Sale </t>
  </si>
  <si>
    <t>Note: we reserve the right to amend the standard terms and conditions.</t>
  </si>
  <si>
    <t>Vrushali Suryavanshi</t>
  </si>
  <si>
    <t>SHINKAWA DIVISION</t>
  </si>
  <si>
    <t>FORBES MARSHALL PVT. LTD.</t>
  </si>
  <si>
    <t>PC420VR-10-IS</t>
  </si>
  <si>
    <t>FM-EXTC-SS-010</t>
  </si>
  <si>
    <t>Mounting Stud,MOC: SS304 (M8x1,10mm deep)</t>
  </si>
  <si>
    <t xml:space="preserve">Extension Cables with SS Conduit 10 Meter </t>
  </si>
  <si>
    <t>43-010-1330066</t>
  </si>
  <si>
    <t>LOOP POWERED (4-20MA) SENSOR,WILCOXON,PC420VR-10-IS,4-20 = 0-25.4 MM/SEC RMS,2 PIN CONNECTOR,1/4"-28 UNF X M6X1 MM STUD,ATEX,SPEC/QAP NO.- 1330066 (REV-0)</t>
  </si>
  <si>
    <t>40-045-1159024</t>
  </si>
  <si>
    <t>10MTR CABLE HARNESSING,MODEL/SUPP.NO.-FM-EXTC-SS-010,0.5 SQ.MM,1 PAIR,ABC,MULTISTRAND ,EXT PVC FRLS,WITH SS CONDUIT ID-8 MM,OD-10MM AND 2 PIN AMPHENOL FEMALE CONNECTOR WITH LUGS AT ANOTHER END OF CABLE</t>
  </si>
  <si>
    <t>MOUNTING ADAPTER,FM ADAPTER,1/4"-28 UNF X M8X1 (10MM),SS304,10MM,DRG.NO.- 1294639 (REV-0)</t>
  </si>
  <si>
    <t>43-031-1294639</t>
  </si>
  <si>
    <t xml:space="preserve">        C5N-PC420VR-10-IS-N</t>
  </si>
  <si>
    <t xml:space="preserve">        C5N-FM-EXTC-010-CONDUIT-N</t>
  </si>
  <si>
    <t xml:space="preserve">        C5N-FM-MS-001-N-4</t>
  </si>
  <si>
    <t>PO Price in INR</t>
  </si>
  <si>
    <t>FM Net in INR</t>
  </si>
  <si>
    <t>VA in INR</t>
  </si>
  <si>
    <t>Va in %</t>
  </si>
  <si>
    <t>PO No</t>
  </si>
  <si>
    <t>PO DATE</t>
  </si>
  <si>
    <t>DA</t>
  </si>
  <si>
    <t>NA</t>
  </si>
  <si>
    <t>COSTING DATE : 23.07.2025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</si>
</sst>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_);_(@_)"/>
    <numFmt numFmtId="165" formatCode="0.00_)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"/>
      <family val="2"/>
    </font>
    <font>
      <b/>
      <sz val="11"/>
      <name val="Calibri"/>
      <family val="2"/>
      <charset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color indexed="12"/>
      <name val="Calibri"/>
      <family val="2"/>
      <scheme val="minor"/>
    </font>
    <font>
      <b/>
      <i/>
      <sz val="11"/>
      <color rgb="FF0070C0"/>
      <name val="Calibri"/>
      <family val="2"/>
      <charset val="1"/>
    </font>
    <font>
      <b/>
      <i/>
      <sz val="11"/>
      <color rgb="FF1D02BE"/>
      <name val="Calibri"/>
      <family val="2"/>
      <charset val="1"/>
    </font>
    <font>
      <sz val="11"/>
      <color rgb="FF0070C0"/>
      <name val="Calibri"/>
      <family val="2"/>
      <charset val="1"/>
    </font>
    <font>
      <b/>
      <i/>
      <sz val="12"/>
      <color rgb="FF1D02BE"/>
      <name val="Calibri"/>
      <family val="2"/>
      <charset val="1"/>
    </font>
    <font>
      <b/>
      <i/>
      <sz val="12"/>
      <color rgb="FF0070C0"/>
      <name val="Calibri"/>
      <family val="2"/>
      <charset val="1"/>
    </font>
    <font>
      <b/>
      <sz val="12"/>
      <name val="Calibri"/>
      <family val="2"/>
      <charset val="1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charset val="1"/>
    </font>
    <font>
      <b/>
      <sz val="14"/>
      <name val="Calibri"/>
      <family val="2"/>
    </font>
    <font>
      <sz val="10"/>
      <color rgb="FF000000"/>
      <name val="Calibri"/>
      <family val="2"/>
      <scheme val="minor"/>
    </font>
    <font>
      <sz val="11"/>
      <name val="ＭＳ Ｐゴシック"/>
      <family val="3"/>
      <charset val="128"/>
    </font>
    <font>
      <b/>
      <i/>
      <sz val="16"/>
      <color rgb="FF1D02BE"/>
      <name val="Calibri"/>
      <family val="2"/>
      <charset val="1"/>
    </font>
    <font>
      <b/>
      <sz val="12"/>
      <name val="Calibri"/>
      <family val="2"/>
      <scheme val="minor"/>
    </font>
    <font>
      <sz val="11"/>
      <name val="ＭＳ Ｐゴシック"/>
      <family val="2"/>
      <charset val="128"/>
    </font>
    <font>
      <b/>
      <u/>
      <sz val="12"/>
      <name val="Calibri"/>
      <family val="2"/>
      <scheme val="minor"/>
    </font>
    <font>
      <u/>
      <sz val="10"/>
      <color indexed="12"/>
      <name val="Arial"/>
      <family val="2"/>
    </font>
    <font>
      <b/>
      <i/>
      <sz val="16"/>
      <name val="Helv"/>
    </font>
    <font>
      <b/>
      <i/>
      <u/>
      <sz val="12"/>
      <color rgb="FF0000CC"/>
      <name val="Calibri"/>
      <family val="2"/>
      <scheme val="minor"/>
    </font>
    <font>
      <sz val="11"/>
      <name val="Arial"/>
      <family val="2"/>
    </font>
    <font>
      <b/>
      <u/>
      <sz val="12"/>
      <color rgb="FF0000CC"/>
      <name val="Calibri"/>
      <family val="2"/>
      <scheme val="minor"/>
    </font>
    <font>
      <u/>
      <sz val="11"/>
      <color indexed="12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7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3" fillId="0" borderId="0"/>
    <xf numFmtId="0" fontId="10" fillId="0" borderId="3" applyNumberFormat="0" applyFill="0" applyAlignment="0" applyProtection="0"/>
    <xf numFmtId="0" fontId="31" fillId="0" borderId="0"/>
    <xf numFmtId="0" fontId="32" fillId="0" borderId="0"/>
    <xf numFmtId="0" fontId="4" fillId="0" borderId="0"/>
    <xf numFmtId="0" fontId="35" fillId="0" borderId="0"/>
    <xf numFmtId="0" fontId="4" fillId="0" borderId="0"/>
    <xf numFmtId="0" fontId="3" fillId="0" borderId="0"/>
    <xf numFmtId="0" fontId="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165" fontId="38" fillId="0" borderId="0"/>
    <xf numFmtId="0" fontId="2" fillId="7" borderId="0" applyNumberFormat="0" applyBorder="0" applyAlignment="0" applyProtection="0"/>
    <xf numFmtId="0" fontId="1" fillId="2" borderId="0" applyNumberFormat="0" applyBorder="0" applyAlignment="0" applyProtection="0"/>
  </cellStyleXfs>
  <cellXfs count="90">
    <xf numFmtId="0" fontId="0" fillId="0" borderId="0" xfId="0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9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0" borderId="0" xfId="0" applyFont="1"/>
    <xf numFmtId="0" fontId="21" fillId="0" borderId="0" xfId="0" applyFont="1" applyAlignment="1">
      <alignment horizontal="center" vertical="center"/>
    </xf>
    <xf numFmtId="0" fontId="6" fillId="0" borderId="0" xfId="0" applyFont="1"/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5" borderId="1" xfId="1" applyFont="1" applyFill="1" applyBorder="1" applyAlignment="1">
      <alignment horizontal="center" vertical="center"/>
    </xf>
    <xf numFmtId="0" fontId="26" fillId="5" borderId="1" xfId="1" applyFont="1" applyFill="1" applyBorder="1" applyAlignment="1">
      <alignment horizontal="center" vertical="center" wrapText="1"/>
    </xf>
    <xf numFmtId="0" fontId="24" fillId="4" borderId="1" xfId="3" applyFont="1" applyFill="1" applyBorder="1" applyAlignment="1">
      <alignment horizontal="center" vertical="center"/>
    </xf>
    <xf numFmtId="0" fontId="26" fillId="0" borderId="1" xfId="3" applyFont="1" applyFill="1" applyBorder="1" applyAlignment="1">
      <alignment horizontal="center" vertical="center"/>
    </xf>
    <xf numFmtId="0" fontId="27" fillId="0" borderId="1" xfId="3" applyFont="1" applyFill="1" applyBorder="1" applyAlignment="1">
      <alignment horizontal="left" vertical="center" wrapText="1"/>
    </xf>
    <xf numFmtId="0" fontId="27" fillId="0" borderId="1" xfId="3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vertical="center"/>
    </xf>
    <xf numFmtId="0" fontId="25" fillId="0" borderId="1" xfId="3" applyFont="1" applyFill="1" applyBorder="1" applyAlignment="1">
      <alignment horizontal="center" vertical="center" wrapText="1"/>
    </xf>
    <xf numFmtId="0" fontId="26" fillId="5" borderId="1" xfId="1" applyFont="1" applyFill="1" applyBorder="1" applyAlignment="1">
      <alignment horizontal="left" vertical="center"/>
    </xf>
    <xf numFmtId="0" fontId="29" fillId="0" borderId="0" xfId="0" applyFont="1"/>
    <xf numFmtId="0" fontId="30" fillId="4" borderId="1" xfId="0" applyFont="1" applyFill="1" applyBorder="1" applyAlignment="1">
      <alignment horizontal="center"/>
    </xf>
    <xf numFmtId="0" fontId="33" fillId="0" borderId="0" xfId="0" applyFont="1"/>
    <xf numFmtId="0" fontId="28" fillId="3" borderId="1" xfId="10" applyFont="1" applyFill="1" applyBorder="1" applyAlignment="1">
      <alignment horizontal="left" vertical="top"/>
    </xf>
    <xf numFmtId="0" fontId="29" fillId="0" borderId="0" xfId="0" quotePrefix="1" applyFont="1"/>
    <xf numFmtId="0" fontId="34" fillId="6" borderId="0" xfId="13" applyFont="1" applyFill="1" applyAlignment="1">
      <alignment vertical="top"/>
    </xf>
    <xf numFmtId="0" fontId="34" fillId="6" borderId="0" xfId="13" applyFont="1" applyFill="1" applyAlignment="1">
      <alignment horizontal="left" vertical="top"/>
    </xf>
    <xf numFmtId="0" fontId="26" fillId="5" borderId="1" xfId="1" applyFont="1" applyFill="1" applyBorder="1" applyAlignment="1">
      <alignment vertical="center" wrapText="1"/>
    </xf>
    <xf numFmtId="0" fontId="16" fillId="0" borderId="1" xfId="1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1" fontId="25" fillId="0" borderId="1" xfId="3" applyNumberFormat="1" applyFont="1" applyFill="1" applyBorder="1" applyAlignment="1">
      <alignment horizontal="center" vertical="center" wrapText="1"/>
    </xf>
    <xf numFmtId="164" fontId="26" fillId="5" borderId="1" xfId="1" applyNumberFormat="1" applyFont="1" applyFill="1" applyBorder="1" applyAlignment="1">
      <alignment vertical="center"/>
    </xf>
    <xf numFmtId="0" fontId="30" fillId="0" borderId="1" xfId="3" applyFont="1" applyFill="1" applyBorder="1" applyAlignment="1">
      <alignment horizontal="center" vertical="center" wrapText="1"/>
    </xf>
    <xf numFmtId="0" fontId="24" fillId="0" borderId="1" xfId="3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43" fontId="1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36" fillId="0" borderId="1" xfId="16" applyFont="1" applyBorder="1" applyAlignment="1">
      <alignment horizontal="left"/>
    </xf>
    <xf numFmtId="164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4" fillId="0" borderId="0" xfId="4"/>
    <xf numFmtId="0" fontId="24" fillId="4" borderId="1" xfId="4" applyFont="1" applyFill="1" applyBorder="1" applyAlignment="1">
      <alignment vertical="center" wrapText="1"/>
    </xf>
    <xf numFmtId="0" fontId="24" fillId="3" borderId="1" xfId="4" applyFont="1" applyFill="1" applyBorder="1" applyAlignment="1">
      <alignment horizontal="center" vertical="center"/>
    </xf>
    <xf numFmtId="0" fontId="24" fillId="4" borderId="1" xfId="4" applyFont="1" applyFill="1" applyBorder="1" applyAlignment="1">
      <alignment vertical="center"/>
    </xf>
    <xf numFmtId="0" fontId="24" fillId="3" borderId="1" xfId="4" applyFont="1" applyFill="1" applyBorder="1" applyAlignment="1">
      <alignment horizontal="left" vertical="center"/>
    </xf>
    <xf numFmtId="0" fontId="39" fillId="0" borderId="0" xfId="8" applyFont="1"/>
    <xf numFmtId="0" fontId="40" fillId="0" borderId="0" xfId="4" applyFont="1"/>
    <xf numFmtId="0" fontId="41" fillId="0" borderId="0" xfId="8" applyFont="1"/>
    <xf numFmtId="0" fontId="10" fillId="0" borderId="0" xfId="8" applyFont="1"/>
    <xf numFmtId="0" fontId="1" fillId="0" borderId="0" xfId="8" applyFont="1"/>
    <xf numFmtId="0" fontId="1" fillId="0" borderId="1" xfId="8" applyFont="1" applyBorder="1" applyAlignment="1">
      <alignment horizontal="justify" vertical="top"/>
    </xf>
    <xf numFmtId="0" fontId="1" fillId="0" borderId="1" xfId="8" applyFont="1" applyBorder="1" applyAlignment="1">
      <alignment horizontal="left" vertical="top" wrapText="1"/>
    </xf>
    <xf numFmtId="0" fontId="1" fillId="0" borderId="1" xfId="8" applyFont="1" applyBorder="1" applyAlignment="1">
      <alignment horizontal="justify" vertical="top" wrapText="1"/>
    </xf>
    <xf numFmtId="0" fontId="12" fillId="0" borderId="1" xfId="5" applyFont="1" applyBorder="1" applyAlignment="1">
      <alignment vertical="top" wrapText="1"/>
    </xf>
    <xf numFmtId="0" fontId="1" fillId="0" borderId="4" xfId="8" applyFont="1" applyBorder="1" applyAlignment="1">
      <alignment horizontal="justify" vertical="top" wrapText="1"/>
    </xf>
    <xf numFmtId="0" fontId="12" fillId="0" borderId="1" xfId="4" applyFont="1" applyBorder="1" applyAlignment="1">
      <alignment vertical="center" wrapText="1"/>
    </xf>
    <xf numFmtId="0" fontId="42" fillId="0" borderId="1" xfId="18" applyFont="1" applyBorder="1" applyAlignment="1" applyProtection="1"/>
    <xf numFmtId="0" fontId="43" fillId="0" borderId="0" xfId="4" applyFont="1" applyAlignment="1">
      <alignment vertical="center" wrapText="1"/>
    </xf>
    <xf numFmtId="0" fontId="40" fillId="0" borderId="0" xfId="4" applyFont="1" applyAlignment="1">
      <alignment vertical="center" wrapText="1"/>
    </xf>
    <xf numFmtId="0" fontId="13" fillId="0" borderId="0" xfId="4" applyFont="1" applyAlignment="1">
      <alignment vertical="center"/>
    </xf>
    <xf numFmtId="0" fontId="12" fillId="8" borderId="0" xfId="17" applyFont="1" applyFill="1" applyAlignment="1">
      <alignment vertical="top"/>
    </xf>
    <xf numFmtId="0" fontId="44" fillId="8" borderId="0" xfId="17" applyFont="1" applyFill="1" applyAlignment="1">
      <alignment vertical="top" wrapText="1"/>
    </xf>
    <xf numFmtId="0" fontId="34" fillId="8" borderId="1" xfId="17" applyFont="1" applyFill="1" applyBorder="1" applyAlignment="1">
      <alignment vertical="top"/>
    </xf>
    <xf numFmtId="1" fontId="34" fillId="8" borderId="1" xfId="17" applyNumberFormat="1" applyFont="1" applyFill="1" applyBorder="1" applyAlignment="1">
      <alignment vertical="top"/>
    </xf>
    <xf numFmtId="15" fontId="34" fillId="6" borderId="0" xfId="13" applyNumberFormat="1" applyFont="1" applyFill="1" applyAlignment="1">
      <alignment horizontal="left" vertical="top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6" fillId="5" borderId="1" xfId="1" applyFont="1" applyFill="1" applyBorder="1" applyAlignment="1">
      <alignment horizontal="center" vertical="center"/>
    </xf>
    <xf numFmtId="0" fontId="26" fillId="5" borderId="4" xfId="1" applyFont="1" applyFill="1" applyBorder="1" applyAlignment="1">
      <alignment horizontal="center" vertical="center" wrapText="1"/>
    </xf>
    <xf numFmtId="0" fontId="26" fillId="5" borderId="5" xfId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/>
    </xf>
    <xf numFmtId="0" fontId="1" fillId="0" borderId="1" xfId="8" applyFont="1" applyBorder="1" applyAlignment="1">
      <alignment horizontal="left" vertical="top" wrapText="1"/>
    </xf>
  </cellXfs>
  <cellStyles count="23">
    <cellStyle name="20% - Accent4" xfId="1" builtinId="42"/>
    <cellStyle name="20% - Accent4 2" xfId="22" xr:uid="{0D35931C-98B3-45DD-A1AD-C02CC146F5AA}"/>
    <cellStyle name="40% - Accent4 2" xfId="21" xr:uid="{A5D5EB37-2DC2-4445-BA46-EA5E37F01A17}"/>
    <cellStyle name="Explanatory Text 2" xfId="2" xr:uid="{00000000-0005-0000-0000-000002000000}"/>
    <cellStyle name="Heading 2" xfId="3" builtinId="17"/>
    <cellStyle name="Hyperlink 2" xfId="18" xr:uid="{4A21DD08-8770-44FF-9648-46E54AE4F1B5}"/>
    <cellStyle name="Normal" xfId="0" builtinId="0"/>
    <cellStyle name="Normal - Style1 3" xfId="20" xr:uid="{3D153600-B775-4404-BF41-D8672E883E9A}"/>
    <cellStyle name="Normal 2" xfId="4" xr:uid="{00000000-0005-0000-0000-000005000000}"/>
    <cellStyle name="Normal 2 10" xfId="5" xr:uid="{00000000-0005-0000-0000-000006000000}"/>
    <cellStyle name="Normal 2 2" xfId="13" xr:uid="{BDF52BD1-C939-4068-BC36-F6FFB629AE0C}"/>
    <cellStyle name="Normal 3" xfId="6" xr:uid="{00000000-0005-0000-0000-000007000000}"/>
    <cellStyle name="Normal 3 2" xfId="17" xr:uid="{C167DD34-C22F-4CB0-A883-89213008C82E}"/>
    <cellStyle name="Normal 37" xfId="19" xr:uid="{110718F7-1B5F-4F9D-AAB6-3EAA460E0045}"/>
    <cellStyle name="Normal 4" xfId="11" xr:uid="{E1B01200-ABFA-4B1B-A628-139F09020711}"/>
    <cellStyle name="Normal 4 2" xfId="7" xr:uid="{00000000-0005-0000-0000-000008000000}"/>
    <cellStyle name="Normal 4 2 2" xfId="8" xr:uid="{00000000-0005-0000-0000-000009000000}"/>
    <cellStyle name="Normal 7" xfId="15" xr:uid="{901D89D4-E7F6-4DC8-A157-4FD2EA794AB1}"/>
    <cellStyle name="Normal_Sheet1 3" xfId="14" xr:uid="{97BCAFD6-0607-4C1A-AFCB-46CCF0EBF632}"/>
    <cellStyle name="Normal_Sheet1_OP1_Priced_TSS &amp; Analysis Offer_BHEL EDN_NTPC Bongaigaon_3X250MW_Dt 050709 MV" xfId="16" xr:uid="{B322982B-699E-4FE1-B288-E9C4DD528F62}"/>
    <cellStyle name="Normal_Summary Sheet" xfId="9" xr:uid="{00000000-0005-0000-0000-00000A000000}"/>
    <cellStyle name="Total" xfId="10" builtinId="25"/>
    <cellStyle name="標準_2010 Price List - updated on 7 Apr. 2015" xfId="12" xr:uid="{4DF3CE4F-BCA0-424D-A73C-53813AC149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PAT_Lite_master/PAT_Lite_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.supportcentral.ge.com/attachments/scmail/37115/PATLite_BOM_R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alagivi\Desktop\PA%20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mp/Temporary%20Directory%201%20for%20PATLite_CondMon.zip/PATLite_CondM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2100Export"/>
      <sheetName val="Customer Information"/>
      <sheetName val="RangeData"/>
      <sheetName val="Screening_Points"/>
      <sheetName val="Plant"/>
      <sheetName val="Applications"/>
      <sheetName val="Scope-Controls"/>
      <sheetName val="Scope-HW"/>
      <sheetName val="Trendmaster Configure"/>
      <sheetName val="Screen-Hydro"/>
      <sheetName val="Screen-OPS"/>
      <sheetName val="PackSys"/>
      <sheetName val="Scope-SW"/>
      <sheetName val="Scope-PartXRef"/>
      <sheetName val="Scope-TMBOP"/>
      <sheetName val="HW-SW"/>
      <sheetName val="PL"/>
      <sheetName val="Spare Parts"/>
      <sheetName val="Service Cal"/>
      <sheetName val="Service Pricing"/>
      <sheetName val="3500 Rack Layout"/>
      <sheetName val="Parts List"/>
      <sheetName val="ScopeDefaults"/>
      <sheetName val="Quotation"/>
      <sheetName val="R2 Summary"/>
      <sheetName val="RRC"/>
      <sheetName val="PriceAuthority"/>
      <sheetName val="Margin Share"/>
      <sheetName val="Endnotes - Fixed Price"/>
      <sheetName val="Endnotes - Budgetary"/>
      <sheetName val="Service OTR Summary"/>
      <sheetName val="Scope-SW-V5"/>
      <sheetName val="Revision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2100Export"/>
      <sheetName val="Customer Information"/>
      <sheetName val="RangeData"/>
      <sheetName val="Screening_Points"/>
      <sheetName val="Plant"/>
      <sheetName val="Applications"/>
      <sheetName val="Overspeed"/>
      <sheetName val="Scope-Controls"/>
      <sheetName val="Scope-HW"/>
      <sheetName val="Trendmaster Configure"/>
      <sheetName val="Scope-PartXRef"/>
      <sheetName val="Scope-SW"/>
      <sheetName val="HW-SW"/>
      <sheetName val="PL"/>
      <sheetName val="Spare Parts"/>
      <sheetName val="PackSys"/>
      <sheetName val="Scope-TMBOP"/>
      <sheetName val="3500 Rack Layout"/>
      <sheetName val="BPerformance"/>
      <sheetName val="Service Cal"/>
      <sheetName val="Service Pricing"/>
      <sheetName val="Parts List"/>
      <sheetName val="ScopeDefaults"/>
      <sheetName val="Quotation"/>
      <sheetName val="R2 Summary"/>
      <sheetName val="RRC"/>
      <sheetName val="PriceAuthority"/>
      <sheetName val="Endnotes - Fixed Price"/>
      <sheetName val="Endnotes - Budgetary"/>
      <sheetName val="Service OTR Summary"/>
      <sheetName val="Scope-SW-V5"/>
      <sheetName val="Revision Status"/>
    </sheetNames>
    <sheetDataSet>
      <sheetData sheetId="0"/>
      <sheetData sheetId="1"/>
      <sheetData sheetId="2">
        <row r="12">
          <cell r="K12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AB5" t="b">
            <v>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Information"/>
      <sheetName val="CITemp"/>
      <sheetName val="TCP"/>
      <sheetName val="TechReg-Countries"/>
      <sheetName val="Scope-Global"/>
      <sheetName val="Scope-GP-Others"/>
      <sheetName val="Scope-GP-PM"/>
      <sheetName val="GPRack-BOM"/>
      <sheetName val="Service-Countries"/>
      <sheetName val="Scope-Recip"/>
      <sheetName val="Scope-Hydro"/>
      <sheetName val="Scope-Wireless"/>
      <sheetName val="Scope-HW"/>
      <sheetName val="Overspeed"/>
      <sheetName val="DM2K_Migration"/>
      <sheetName val="Scope-TMBOP"/>
      <sheetName val="Scope-SW"/>
      <sheetName val="Scope-SW-China"/>
      <sheetName val="Scope-BPerf"/>
      <sheetName val="Scope-EMAP-CLOC"/>
      <sheetName val="Scope-AnomAlert"/>
      <sheetName val="Scope-Rightrax"/>
      <sheetName val="Scope-3500 ENCORE"/>
      <sheetName val="Scope-3701 ADAPT.Wind"/>
      <sheetName val="EMAP-SAP-PN"/>
      <sheetName val="HW-SW"/>
      <sheetName val="PROJECT ENGINEERING"/>
      <sheetName val="PackSys"/>
      <sheetName val="FAT PRICING"/>
      <sheetName val="Spare Parts"/>
      <sheetName val="Scope-PM"/>
      <sheetName val="PL"/>
      <sheetName val="Parts List"/>
      <sheetName val="3500 Rack Layout"/>
      <sheetName val="GP-BOM-Temp"/>
      <sheetName val="Service Cal"/>
      <sheetName val="Service Pricing"/>
      <sheetName val="Machining Estimate Sheet"/>
      <sheetName val="Scope-Project Documentation"/>
      <sheetName val="Commercial Adders"/>
      <sheetName val="QuoteSetup"/>
      <sheetName val="QuoteLogic2"/>
      <sheetName val="Quotation"/>
      <sheetName val="PriceAuthority"/>
      <sheetName val="R3 SAP interface"/>
      <sheetName val="R3 SAP interface-Final"/>
      <sheetName val="Dump"/>
      <sheetName val="Revision Status"/>
    </sheetNames>
    <sheetDataSet>
      <sheetData sheetId="0" refreshError="1">
        <row r="48">
          <cell r="E48">
            <v>0.4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-Global"/>
      <sheetName val="GPRack-BOM"/>
      <sheetName val="Instructions"/>
      <sheetName val="EX2100Export"/>
      <sheetName val="Customer Information"/>
      <sheetName val="RangeData"/>
      <sheetName val="Screening_Points"/>
      <sheetName val="Plant"/>
      <sheetName val="Applications"/>
      <sheetName val="WiTry"/>
      <sheetName val="Scope-HW"/>
      <sheetName val="Trendmaster Configure"/>
      <sheetName val="Scope-PartXRef"/>
      <sheetName val="Overspeed"/>
      <sheetName val="DM2K_Migration"/>
      <sheetName val="Scope-SW"/>
      <sheetName val="HW-SW"/>
      <sheetName val="PL"/>
      <sheetName val="ScopeDefaults"/>
      <sheetName val="Scope-GP-Others"/>
      <sheetName val="Spare Parts"/>
      <sheetName val="Scope-TMBOP"/>
      <sheetName val="PackSys"/>
      <sheetName val="FAT PRICING"/>
      <sheetName val="PROJECT ENGINEERING"/>
      <sheetName val="Scope-PM"/>
      <sheetName val="FormatTemplate"/>
      <sheetName val="Service Cal"/>
      <sheetName val="Service Pricing"/>
      <sheetName val="UsefulLinks"/>
      <sheetName val="3500 Rack Layout"/>
      <sheetName val="Parts List"/>
      <sheetName val="Compliance"/>
      <sheetName val="Quotation"/>
      <sheetName val="QuoteSetup"/>
      <sheetName val="QuoteLogic"/>
      <sheetName val="R2 Summary"/>
      <sheetName val="RiskReview"/>
      <sheetName val="PriceAuthority"/>
      <sheetName val="Scope-SW-V5"/>
      <sheetName val="Scope-Controls"/>
      <sheetName val="Service OTR Summary"/>
      <sheetName val="BPPricing"/>
      <sheetName val="R3 SAP interface"/>
      <sheetName val="Revision Status"/>
    </sheetNames>
    <sheetDataSet>
      <sheetData sheetId="0"/>
      <sheetData sheetId="1"/>
      <sheetData sheetId="2"/>
      <sheetData sheetId="3"/>
      <sheetData sheetId="4">
        <row r="11">
          <cell r="K11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besmarshall.com/Terms-of-S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71DE-9EE4-46A3-B615-5E84F101F4E4}">
  <sheetPr>
    <pageSetUpPr fitToPage="1"/>
  </sheetPr>
  <dimension ref="B1:K37"/>
  <sheetViews>
    <sheetView tabSelected="1" view="pageBreakPreview" zoomScale="73" zoomScaleNormal="58" zoomScaleSheetLayoutView="73" workbookViewId="0">
      <selection activeCell="D2" sqref="D2"/>
    </sheetView>
  </sheetViews>
  <sheetFormatPr defaultColWidth="9.140625" defaultRowHeight="15"/>
  <cols>
    <col min="1" max="1" width="4.42578125" style="1" customWidth="1"/>
    <col min="2" max="2" width="13.42578125" style="1" customWidth="1"/>
    <col min="3" max="3" width="77.7109375" style="1" customWidth="1"/>
    <col min="4" max="4" width="28.7109375" style="1" customWidth="1"/>
    <col min="5" max="5" width="17.7109375" style="1" customWidth="1"/>
    <col min="6" max="7" width="9.5703125" style="48" customWidth="1"/>
    <col min="8" max="8" width="9.5703125" style="1" customWidth="1"/>
    <col min="9" max="9" width="24.42578125" style="1" bestFit="1" customWidth="1"/>
    <col min="10" max="10" width="17.140625" style="1" bestFit="1" customWidth="1"/>
    <col min="11" max="11" width="70.7109375" style="1" customWidth="1"/>
    <col min="12" max="15" width="9.140625" style="1" customWidth="1"/>
    <col min="16" max="16384" width="9.140625" style="1"/>
  </cols>
  <sheetData>
    <row r="1" spans="2:11" s="17" customFormat="1" ht="21">
      <c r="B1" s="35" t="s">
        <v>0</v>
      </c>
      <c r="C1" s="15"/>
      <c r="D1" s="34" t="s">
        <v>84</v>
      </c>
      <c r="E1" s="16"/>
      <c r="F1" s="47"/>
      <c r="G1" s="47"/>
    </row>
    <row r="2" spans="2:11" ht="18.75">
      <c r="B2" s="33" t="s">
        <v>6</v>
      </c>
      <c r="C2" s="33" t="s">
        <v>26</v>
      </c>
      <c r="D2" s="34" t="s">
        <v>27</v>
      </c>
    </row>
    <row r="3" spans="2:11" customFormat="1" ht="18.75">
      <c r="B3" s="33" t="s">
        <v>9</v>
      </c>
      <c r="C3" s="37"/>
      <c r="D3" s="12"/>
      <c r="E3" s="13"/>
      <c r="F3" s="49"/>
      <c r="G3" s="49"/>
    </row>
    <row r="4" spans="2:11" customFormat="1" ht="15.75">
      <c r="B4" s="38" t="s">
        <v>12</v>
      </c>
      <c r="C4" s="39" t="s">
        <v>28</v>
      </c>
      <c r="D4" s="12"/>
      <c r="E4" s="13"/>
      <c r="F4" s="49"/>
      <c r="G4" s="49"/>
    </row>
    <row r="5" spans="2:11" customFormat="1" ht="15.75">
      <c r="B5" s="38" t="s">
        <v>80</v>
      </c>
      <c r="C5" s="39">
        <v>2242603052</v>
      </c>
      <c r="D5" s="12"/>
      <c r="E5" s="13"/>
      <c r="F5" s="49"/>
      <c r="G5" s="49"/>
    </row>
    <row r="6" spans="2:11" customFormat="1" ht="15.75">
      <c r="B6" s="38" t="s">
        <v>81</v>
      </c>
      <c r="C6" s="82">
        <v>45861</v>
      </c>
      <c r="D6" s="12"/>
      <c r="E6" s="13"/>
      <c r="F6" s="49"/>
      <c r="G6" s="49"/>
    </row>
    <row r="7" spans="2:11" customFormat="1" ht="15.75">
      <c r="B7" s="18" t="s">
        <v>82</v>
      </c>
      <c r="C7" s="18" t="s">
        <v>83</v>
      </c>
      <c r="D7" s="11"/>
      <c r="E7" s="14"/>
      <c r="F7" s="49"/>
      <c r="G7" s="49"/>
    </row>
    <row r="8" spans="2:11" customFormat="1" ht="15.75">
      <c r="B8" s="18"/>
      <c r="C8" s="18"/>
      <c r="D8" s="11"/>
      <c r="E8" s="14"/>
      <c r="F8" s="49"/>
      <c r="G8" s="49"/>
    </row>
    <row r="9" spans="2:11" ht="18.75">
      <c r="B9" s="4"/>
      <c r="C9" s="36" t="s">
        <v>25</v>
      </c>
      <c r="D9" s="3"/>
    </row>
    <row r="10" spans="2:11" ht="18.75">
      <c r="B10" s="19" t="s">
        <v>10</v>
      </c>
      <c r="C10" s="20"/>
      <c r="D10" s="20"/>
      <c r="E10" s="21"/>
    </row>
    <row r="11" spans="2:11" s="5" customFormat="1" ht="36" customHeight="1">
      <c r="B11" s="85" t="s">
        <v>3</v>
      </c>
      <c r="C11" s="40" t="s">
        <v>1</v>
      </c>
      <c r="D11" s="23" t="s">
        <v>18</v>
      </c>
      <c r="E11" s="86" t="s">
        <v>23</v>
      </c>
      <c r="F11" s="88" t="s">
        <v>19</v>
      </c>
      <c r="G11" s="88" t="s">
        <v>20</v>
      </c>
      <c r="H11" s="83" t="s">
        <v>22</v>
      </c>
    </row>
    <row r="12" spans="2:11" s="5" customFormat="1" ht="20.25" customHeight="1">
      <c r="B12" s="85"/>
      <c r="C12" s="40"/>
      <c r="D12" s="23"/>
      <c r="E12" s="87"/>
      <c r="F12" s="88"/>
      <c r="G12" s="88"/>
      <c r="H12" s="84"/>
    </row>
    <row r="13" spans="2:11" s="5" customFormat="1" ht="18.75">
      <c r="B13" s="24" t="s">
        <v>2</v>
      </c>
      <c r="C13" s="59" t="s">
        <v>29</v>
      </c>
      <c r="D13" s="29" t="s">
        <v>7</v>
      </c>
      <c r="E13" s="30"/>
      <c r="F13" s="50"/>
      <c r="G13" s="50"/>
      <c r="H13" s="54"/>
    </row>
    <row r="14" spans="2:11" s="5" customFormat="1" ht="26.25" customHeight="1">
      <c r="B14" s="25">
        <v>1</v>
      </c>
      <c r="C14" s="26" t="s">
        <v>21</v>
      </c>
      <c r="D14" s="45" t="s">
        <v>63</v>
      </c>
      <c r="E14" s="27">
        <v>1</v>
      </c>
      <c r="F14" s="51">
        <f>H14*86.32*1.03*1.075</f>
        <v>27621.989979999998</v>
      </c>
      <c r="G14" s="50">
        <f>F14*E14</f>
        <v>27621.989979999998</v>
      </c>
      <c r="H14" s="50">
        <v>289</v>
      </c>
      <c r="I14" s="5" t="s">
        <v>73</v>
      </c>
      <c r="J14" s="5" t="s">
        <v>67</v>
      </c>
      <c r="K14" s="5" t="s">
        <v>68</v>
      </c>
    </row>
    <row r="15" spans="2:11" s="5" customFormat="1" ht="18.75">
      <c r="B15" s="24" t="s">
        <v>5</v>
      </c>
      <c r="C15" s="28" t="s">
        <v>4</v>
      </c>
      <c r="D15" s="29"/>
      <c r="E15" s="30"/>
      <c r="F15" s="50"/>
      <c r="G15" s="50"/>
    </row>
    <row r="16" spans="2:11" s="5" customFormat="1" ht="33.75">
      <c r="B16" s="46">
        <v>1</v>
      </c>
      <c r="C16" s="26" t="s">
        <v>66</v>
      </c>
      <c r="D16" s="45" t="s">
        <v>64</v>
      </c>
      <c r="E16" s="27">
        <f>E14</f>
        <v>1</v>
      </c>
      <c r="F16" s="50">
        <v>1600</v>
      </c>
      <c r="G16" s="50">
        <f>F16*E16</f>
        <v>1600</v>
      </c>
      <c r="I16" s="5" t="s">
        <v>74</v>
      </c>
      <c r="J16" s="78" t="s">
        <v>69</v>
      </c>
      <c r="K16" s="79" t="s">
        <v>70</v>
      </c>
    </row>
    <row r="17" spans="2:11" s="5" customFormat="1" ht="22.5">
      <c r="B17" s="46">
        <v>2</v>
      </c>
      <c r="C17" s="26" t="s">
        <v>65</v>
      </c>
      <c r="D17" s="45" t="s">
        <v>11</v>
      </c>
      <c r="E17" s="27">
        <f>E14</f>
        <v>1</v>
      </c>
      <c r="F17" s="50">
        <v>140</v>
      </c>
      <c r="G17" s="50">
        <f>F17*E17</f>
        <v>140</v>
      </c>
      <c r="I17" s="5" t="s">
        <v>75</v>
      </c>
      <c r="J17" s="5" t="s">
        <v>72</v>
      </c>
      <c r="K17" s="79" t="s">
        <v>71</v>
      </c>
    </row>
    <row r="18" spans="2:11" s="5" customFormat="1" ht="18.75">
      <c r="B18" s="46">
        <v>3</v>
      </c>
      <c r="C18" s="26" t="s">
        <v>30</v>
      </c>
      <c r="D18" s="45" t="s">
        <v>14</v>
      </c>
      <c r="E18" s="27" t="s">
        <v>14</v>
      </c>
      <c r="F18" s="50"/>
      <c r="G18" s="50"/>
    </row>
    <row r="19" spans="2:11" s="5" customFormat="1" ht="18.75">
      <c r="B19" s="24" t="s">
        <v>13</v>
      </c>
      <c r="C19" s="61" t="s">
        <v>15</v>
      </c>
      <c r="D19" s="60"/>
      <c r="E19" s="62" t="s">
        <v>16</v>
      </c>
      <c r="F19" s="50"/>
      <c r="G19" s="50"/>
    </row>
    <row r="20" spans="2:11" s="5" customFormat="1" ht="37.5">
      <c r="B20" s="42"/>
      <c r="C20" s="55" t="s">
        <v>24</v>
      </c>
      <c r="D20" s="41"/>
      <c r="E20" s="43" t="s">
        <v>16</v>
      </c>
      <c r="F20" s="50"/>
      <c r="G20" s="50"/>
    </row>
    <row r="21" spans="2:11" s="5" customFormat="1" ht="18.75">
      <c r="B21" s="42"/>
      <c r="C21" s="55" t="s">
        <v>17</v>
      </c>
      <c r="D21" s="41"/>
      <c r="E21" s="31"/>
      <c r="F21" s="50"/>
      <c r="G21" s="50"/>
    </row>
    <row r="22" spans="2:11" s="5" customFormat="1" ht="20.25" customHeight="1">
      <c r="B22" s="22"/>
      <c r="C22" s="32" t="s">
        <v>8</v>
      </c>
      <c r="D22" s="32"/>
      <c r="E22" s="44"/>
      <c r="F22" s="52"/>
      <c r="G22" s="50">
        <f>SUM(G13:G17)</f>
        <v>29361.989979999998</v>
      </c>
    </row>
    <row r="23" spans="2:11" s="6" customFormat="1">
      <c r="B23" s="7"/>
      <c r="C23" s="7"/>
      <c r="D23" s="7"/>
      <c r="E23" s="1"/>
      <c r="F23" s="53"/>
      <c r="G23" s="53"/>
    </row>
    <row r="24" spans="2:11" s="6" customFormat="1" ht="15.75">
      <c r="C24" s="80" t="s">
        <v>76</v>
      </c>
      <c r="D24" s="81">
        <v>66000</v>
      </c>
      <c r="E24" s="1"/>
      <c r="F24" s="53"/>
      <c r="G24" s="53"/>
    </row>
    <row r="25" spans="2:11" s="6" customFormat="1" ht="15.75">
      <c r="B25" s="2"/>
      <c r="C25" s="80" t="s">
        <v>77</v>
      </c>
      <c r="D25" s="81">
        <f>G22</f>
        <v>29361.989979999998</v>
      </c>
      <c r="E25" s="1"/>
      <c r="F25" s="53"/>
      <c r="G25" s="53"/>
    </row>
    <row r="26" spans="2:11" s="6" customFormat="1" ht="15.75">
      <c r="C26" s="80" t="s">
        <v>78</v>
      </c>
      <c r="D26" s="81">
        <f>D24-D25</f>
        <v>36638.010020000002</v>
      </c>
      <c r="E26" s="1"/>
      <c r="F26" s="53"/>
      <c r="G26" s="53"/>
    </row>
    <row r="27" spans="2:11" s="6" customFormat="1" ht="15.75">
      <c r="B27" s="2"/>
      <c r="C27" s="80" t="s">
        <v>79</v>
      </c>
      <c r="D27" s="81">
        <f>D26/D24%</f>
        <v>55.512136393939393</v>
      </c>
      <c r="E27" s="1"/>
      <c r="F27" s="53"/>
      <c r="G27" s="53"/>
    </row>
    <row r="28" spans="2:11" s="6" customFormat="1">
      <c r="B28" s="7"/>
      <c r="C28" s="8"/>
      <c r="D28" s="7"/>
      <c r="E28" s="1"/>
      <c r="F28" s="53"/>
      <c r="G28" s="53"/>
    </row>
    <row r="29" spans="2:11">
      <c r="E29" s="56"/>
    </row>
    <row r="30" spans="2:11">
      <c r="E30" s="57"/>
    </row>
    <row r="36" spans="2:4">
      <c r="C36" s="9"/>
      <c r="D36" s="9"/>
    </row>
    <row r="37" spans="2:4">
      <c r="B37" s="10"/>
    </row>
  </sheetData>
  <mergeCells count="5">
    <mergeCell ref="H11:H12"/>
    <mergeCell ref="B11:B12"/>
    <mergeCell ref="E11:E12"/>
    <mergeCell ref="F11:F12"/>
    <mergeCell ref="G11:G12"/>
  </mergeCells>
  <pageMargins left="0.34" right="0.17" top="0.17" bottom="0.17" header="0.17" footer="0.26"/>
  <pageSetup scale="7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404D-ADFF-42AF-8A65-82E978131FF9}">
  <dimension ref="A1:B24"/>
  <sheetViews>
    <sheetView topLeftCell="A3" workbookViewId="0">
      <selection activeCell="B12" sqref="B12"/>
    </sheetView>
  </sheetViews>
  <sheetFormatPr defaultRowHeight="14.25"/>
  <cols>
    <col min="1" max="1" width="23.42578125" style="64" customWidth="1"/>
    <col min="2" max="2" width="74.7109375" style="64" customWidth="1"/>
    <col min="3" max="16384" width="9.140625" style="58"/>
  </cols>
  <sheetData>
    <row r="1" spans="1:2" ht="15.75">
      <c r="A1" s="63" t="s">
        <v>0</v>
      </c>
    </row>
    <row r="3" spans="1:2" ht="15.75">
      <c r="A3" s="65" t="s">
        <v>31</v>
      </c>
      <c r="B3" s="66"/>
    </row>
    <row r="4" spans="1:2" ht="15">
      <c r="A4" s="67"/>
      <c r="B4" s="67"/>
    </row>
    <row r="5" spans="1:2" ht="30">
      <c r="A5" s="68" t="s">
        <v>32</v>
      </c>
      <c r="B5" s="69" t="s">
        <v>33</v>
      </c>
    </row>
    <row r="6" spans="1:2" ht="15">
      <c r="A6" s="70" t="s">
        <v>34</v>
      </c>
      <c r="B6" s="69" t="s">
        <v>35</v>
      </c>
    </row>
    <row r="7" spans="1:2" ht="15">
      <c r="A7" s="70" t="s">
        <v>36</v>
      </c>
      <c r="B7" s="69" t="s">
        <v>37</v>
      </c>
    </row>
    <row r="8" spans="1:2" ht="15">
      <c r="A8" s="70" t="s">
        <v>38</v>
      </c>
      <c r="B8" s="69" t="s">
        <v>39</v>
      </c>
    </row>
    <row r="9" spans="1:2" ht="15">
      <c r="A9" s="70" t="s">
        <v>40</v>
      </c>
      <c r="B9" s="69" t="s">
        <v>41</v>
      </c>
    </row>
    <row r="10" spans="1:2" ht="15">
      <c r="A10" s="70" t="s">
        <v>42</v>
      </c>
      <c r="B10" s="71" t="s">
        <v>43</v>
      </c>
    </row>
    <row r="11" spans="1:2" ht="15">
      <c r="A11" s="70" t="s">
        <v>44</v>
      </c>
      <c r="B11" s="69" t="s">
        <v>45</v>
      </c>
    </row>
    <row r="12" spans="1:2" ht="30">
      <c r="A12" s="70" t="s">
        <v>46</v>
      </c>
      <c r="B12" s="69" t="s">
        <v>47</v>
      </c>
    </row>
    <row r="13" spans="1:2" ht="30">
      <c r="A13" s="70" t="s">
        <v>48</v>
      </c>
      <c r="B13" s="69" t="s">
        <v>49</v>
      </c>
    </row>
    <row r="14" spans="1:2" ht="30">
      <c r="A14" s="70" t="s">
        <v>50</v>
      </c>
      <c r="B14" s="71" t="s">
        <v>51</v>
      </c>
    </row>
    <row r="15" spans="1:2" ht="30">
      <c r="A15" s="70" t="s">
        <v>52</v>
      </c>
      <c r="B15" s="69" t="s">
        <v>53</v>
      </c>
    </row>
    <row r="16" spans="1:2" ht="15">
      <c r="A16" s="72" t="s">
        <v>54</v>
      </c>
      <c r="B16" s="72" t="s">
        <v>55</v>
      </c>
    </row>
    <row r="17" spans="1:2" ht="30">
      <c r="A17" s="89" t="s">
        <v>56</v>
      </c>
      <c r="B17" s="73" t="s">
        <v>57</v>
      </c>
    </row>
    <row r="18" spans="1:2">
      <c r="A18" s="89"/>
      <c r="B18" s="74" t="s">
        <v>58</v>
      </c>
    </row>
    <row r="19" spans="1:2" ht="15">
      <c r="A19" s="89"/>
      <c r="B19" s="73" t="s">
        <v>59</v>
      </c>
    </row>
    <row r="20" spans="1:2" ht="15">
      <c r="A20" s="75"/>
      <c r="B20" s="76"/>
    </row>
    <row r="21" spans="1:2" ht="15">
      <c r="A21" s="66" t="s">
        <v>60</v>
      </c>
      <c r="B21" s="67"/>
    </row>
    <row r="22" spans="1:2" ht="15">
      <c r="A22" s="77" t="s">
        <v>61</v>
      </c>
      <c r="B22" s="67"/>
    </row>
    <row r="23" spans="1:2" ht="15">
      <c r="B23" s="67"/>
    </row>
    <row r="24" spans="1:2" ht="15">
      <c r="A24" s="77" t="s">
        <v>62</v>
      </c>
    </row>
  </sheetData>
  <mergeCells count="1">
    <mergeCell ref="A17:A19"/>
  </mergeCells>
  <hyperlinks>
    <hyperlink ref="B18" r:id="rId1" display="https://www.forbesmarshall.com/Terms-of-Sale" xr:uid="{9FD0B44A-1C38-4840-B225-36370EB67A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DE5D5ED57974D8082953D1817137C" ma:contentTypeVersion="2" ma:contentTypeDescription="Create a new document." ma:contentTypeScope="" ma:versionID="58d96985113be4b33b55453c351801ba">
  <xsd:schema xmlns:xsd="http://www.w3.org/2001/XMLSchema" xmlns:xs="http://www.w3.org/2001/XMLSchema" xmlns:p="http://schemas.microsoft.com/office/2006/metadata/properties" xmlns:ns3="91808bea-d5cd-40b3-b27c-cc25f414b00e" targetNamespace="http://schemas.microsoft.com/office/2006/metadata/properties" ma:root="true" ma:fieldsID="e8ee5a159577e60c35329c44e47c86b2" ns3:_="">
    <xsd:import namespace="91808bea-d5cd-40b3-b27c-cc25f414b0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08bea-d5cd-40b3-b27c-cc25f414b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2A410B-E359-4CF9-B1FD-64BB9C7263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81B0A2-2174-483E-82D8-6D8588CD5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08bea-d5cd-40b3-b27c-cc25f414b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4A9990-03D3-4845-B61A-33503A73C1FA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1808bea-d5cd-40b3-b27c-cc25f414b0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T&amp;C</vt:lpstr>
      <vt:lpstr>BOM!Print_Area</vt:lpstr>
    </vt:vector>
  </TitlesOfParts>
  <Company>forbes marshall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VRUSHALI SURYAWANSHI(5CD8334CHZ)</cp:lastModifiedBy>
  <cp:lastPrinted>2023-07-04T09:03:23Z</cp:lastPrinted>
  <dcterms:created xsi:type="dcterms:W3CDTF">2005-07-21T09:07:11Z</dcterms:created>
  <dcterms:modified xsi:type="dcterms:W3CDTF">2025-07-23T17:41:19Z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0x0101005ABDE5D5ED57974D8082953D1817137C</vt:lpwstr>
  </property>
</Properties>
</file>